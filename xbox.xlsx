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5ceddd6a84c311/Documentos/"/>
    </mc:Choice>
  </mc:AlternateContent>
  <xr:revisionPtr revIDLastSave="0" documentId="8_{4A30BE3E-D985-43E1-9547-9753328161C0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24" i="3"/>
</calcChain>
</file>

<file path=xl/sharedStrings.xml><?xml version="1.0" encoding="utf-8"?>
<sst xmlns="http://schemas.openxmlformats.org/spreadsheetml/2006/main" count="2024" uniqueCount="327">
  <si>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</si>
  <si>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</si>
  <si>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</si>
  <si>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</si>
  <si>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</si>
  <si>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</si>
  <si>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</si>
  <si>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</si>
  <si>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</si>
  <si>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</si>
  <si>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</si>
  <si>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</si>
  <si>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</si>
  <si>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</si>
  <si>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</si>
  <si>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</si>
  <si>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</si>
  <si>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</si>
  <si>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</si>
  <si>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</si>
  <si>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</si>
  <si>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</si>
  <si>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</si>
  <si>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</si>
  <si>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</si>
  <si>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</si>
  <si>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</si>
  <si>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</si>
  <si>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</si>
  <si>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</si>
  <si>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</si>
  <si>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</si>
  <si>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</si>
  <si>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</si>
  <si>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</si>
  <si>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</si>
  <si>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</si>
  <si>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</si>
  <si>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</si>
  <si>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</si>
  <si>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</si>
  <si>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</si>
  <si>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</si>
  <si>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</si>
  <si>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</si>
  <si>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</si>
  <si>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</si>
  <si>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</si>
  <si>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</si>
  <si>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</si>
  <si>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</si>
  <si>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</si>
  <si>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</si>
  <si>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</si>
  <si>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</si>
  <si>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</si>
  <si>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</si>
  <si>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</si>
  <si>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</si>
  <si>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</si>
  <si>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</si>
  <si>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</si>
  <si>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</si>
  <si>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</si>
  <si>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</si>
  <si>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</si>
  <si>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</si>
  <si>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</si>
  <si>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</si>
  <si>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</si>
  <si>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</si>
  <si>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</si>
  <si>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</si>
  <si>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</si>
  <si>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</si>
  <si>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</si>
  <si>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</si>
  <si>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</si>
  <si>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</si>
  <si>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</si>
  <si>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</si>
  <si>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</si>
  <si>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</si>
  <si>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</si>
  <si>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</si>
  <si>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</si>
  <si>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</si>
  <si>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</si>
  <si>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</si>
  <si>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</si>
  <si>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</si>
  <si>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</si>
  <si>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</si>
  <si>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</si>
  <si>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</si>
  <si>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</si>
  <si>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</si>
  <si>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</si>
  <si>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</si>
  <si>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</si>
  <si>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</si>
  <si>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</si>
  <si>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</si>
  <si>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</si>
  <si>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</si>
  <si>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</si>
  <si>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</si>
  <si>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</si>
  <si>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</si>
  <si>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</si>
  <si>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</si>
  <si>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</si>
  <si>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</si>
  <si>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</si>
  <si>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</si>
  <si>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</si>
  <si>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</si>
  <si>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</si>
  <si>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</si>
  <si>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</si>
  <si>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</si>
  <si>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</si>
  <si>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</si>
  <si>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</si>
  <si>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</si>
  <si>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</si>
  <si>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</si>
  <si>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</si>
  <si>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</si>
  <si>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</si>
  <si>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</si>
  <si>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</si>
  <si>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</si>
  <si>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</si>
  <si>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</si>
  <si>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</si>
  <si>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</si>
  <si>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</si>
  <si>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</si>
  <si>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</si>
  <si>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</si>
  <si>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</si>
  <si>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</si>
  <si>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</si>
  <si>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</si>
  <si>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</si>
  <si>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</si>
  <si>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</si>
  <si>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</si>
  <si>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</si>
  <si>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</si>
  <si>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</si>
  <si>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</si>
  <si>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</si>
  <si>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</si>
  <si>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</si>
  <si>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</si>
  <si>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</si>
  <si>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</si>
  <si>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</si>
  <si>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</si>
  <si>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</si>
  <si>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</si>
  <si>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</si>
  <si>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</si>
  <si>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</si>
  <si>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</si>
  <si>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</si>
  <si>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</si>
  <si>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</si>
  <si>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</si>
  <si>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</si>
  <si>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</si>
  <si>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</si>
  <si>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</si>
  <si>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</si>
  <si>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</si>
  <si>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</si>
  <si>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</si>
  <si>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</si>
  <si>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</si>
  <si>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</si>
  <si>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</si>
  <si>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</si>
  <si>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</si>
  <si>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</si>
  <si>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</si>
  <si>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</si>
  <si>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</si>
  <si>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</si>
  <si>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</si>
  <si>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</si>
  <si>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</si>
  <si>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</si>
  <si>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</si>
  <si>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</si>
  <si>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</si>
  <si>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</si>
  <si>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</si>
  <si>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</si>
  <si>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</si>
  <si>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</si>
  <si>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</si>
  <si>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</si>
  <si>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</si>
  <si>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</si>
  <si>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</si>
  <si>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</si>
  <si>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</si>
  <si>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</si>
  <si>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</si>
  <si>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</si>
  <si>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</si>
  <si>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</si>
  <si>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</si>
  <si>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</si>
  <si>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</si>
  <si>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</si>
  <si>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</si>
  <si>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</si>
  <si>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</si>
  <si>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</si>
  <si>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</si>
  <si>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</si>
  <si>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</si>
  <si>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</si>
  <si>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</si>
  <si>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</si>
  <si>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</si>
  <si>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</si>
  <si>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</si>
  <si>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</si>
  <si>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</si>
  <si>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</si>
  <si>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</si>
  <si>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</si>
  <si>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</si>
  <si>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</si>
  <si>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</si>
  <si>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</si>
  <si>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</si>
  <si>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</si>
  <si>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</si>
  <si>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</si>
  <si>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</si>
  <si>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</si>
  <si>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</si>
  <si>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</si>
  <si>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</si>
  <si>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</si>
  <si>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</si>
  <si>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</si>
  <si>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</si>
  <si>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</si>
  <si>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</si>
  <si>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</si>
  <si>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</si>
  <si>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</si>
  <si>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</si>
  <si>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</si>
  <si>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</si>
  <si>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</si>
  <si>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</si>
  <si>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</si>
  <si>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</si>
  <si>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</si>
  <si>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</si>
  <si>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</si>
  <si>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</si>
  <si>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</si>
  <si>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</si>
  <si>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</si>
  <si>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</si>
  <si>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</si>
  <si>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</si>
  <si>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</si>
  <si>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</si>
  <si>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</si>
  <si>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</si>
  <si>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</si>
  <si>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</si>
  <si>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</si>
  <si>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</si>
  <si>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</si>
  <si>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</si>
  <si>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</si>
  <si>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</si>
  <si>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</si>
  <si>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</si>
  <si>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</si>
  <si>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</si>
  <si>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</si>
  <si>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</si>
  <si>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</si>
  <si>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</si>
  <si>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</si>
  <si>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</si>
  <si>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</si>
  <si>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</si>
  <si>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</si>
  <si>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</si>
  <si>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</si>
  <si>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</si>
  <si>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</si>
  <si>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</si>
  <si>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</si>
  <si>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</si>
  <si>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</si>
  <si>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</si>
  <si>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</si>
  <si>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</si>
  <si>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(Tudo)</t>
  </si>
  <si>
    <t>#E8E6E9</t>
  </si>
  <si>
    <t>#22C55E</t>
  </si>
  <si>
    <t>#2AE6B1</t>
  </si>
  <si>
    <t>#5BF6A8</t>
  </si>
  <si>
    <t>#9BC848</t>
  </si>
  <si>
    <t>PERGUNTAS DE NEGÓCIOS</t>
  </si>
  <si>
    <r>
      <t xml:space="preserve">PERGUNTA 1: Qual faturamento </t>
    </r>
    <r>
      <rPr>
        <b/>
        <u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u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</si>
  <si>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2: Qual faturamneto </t>
    </r>
    <r>
      <rPr>
        <b/>
        <u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u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, separando por auto renovação e por não auto renovação</t>
    </r>
  </si>
  <si>
    <t>Soma de EA Play Season Pass</t>
  </si>
  <si>
    <r>
      <t xml:space="preserve">PERGUNTA 4: Total de vandas de assinatura do </t>
    </r>
    <r>
      <rPr>
        <b/>
        <sz val="11"/>
        <color theme="1"/>
        <rFont val="Aptos Narrow"/>
        <family val="2"/>
        <scheme val="minor"/>
      </rPr>
      <t>Minecraft Season Pass</t>
    </r>
    <r>
      <rPr>
        <sz val="11"/>
        <color theme="1"/>
        <rFont val="Aptos Narrow"/>
        <family val="2"/>
        <scheme val="minor"/>
      </rPr>
      <t>?</t>
    </r>
  </si>
  <si>
    <r>
      <t>PERGUNTA 3: Total de vendas de assinatura do</t>
    </r>
    <r>
      <rPr>
        <b/>
        <sz val="11"/>
        <color theme="1"/>
        <rFont val="Aptos Narrow"/>
        <family val="2"/>
        <scheme val="minor"/>
      </rPr>
      <t xml:space="preserve"> EA  Play Season Pass</t>
    </r>
    <r>
      <rPr>
        <sz val="11"/>
        <color theme="1"/>
        <rFont val="Aptos Narrow"/>
        <family val="2"/>
        <scheme val="minor"/>
      </rPr>
      <t>?</t>
    </r>
  </si>
  <si>
    <t>Soma de Minecraft Season Pass Price</t>
  </si>
  <si>
    <t>BEM VINDO ETHAN</t>
  </si>
  <si>
    <r>
      <t xml:space="preserve"> </t>
    </r>
    <r>
      <rPr>
        <b/>
        <sz val="15"/>
        <color rgb="FF22C55E"/>
        <rFont val="Aptos Narrow"/>
        <family val="2"/>
        <scheme val="minor"/>
      </rPr>
      <t>XBOX GAME PASS SUBSCRIPTIONS SALES</t>
    </r>
  </si>
  <si>
    <t>Assessment period : 01/01/2026 - 31/12/2026 | UPDATE DATE 23/10/2026 - 09:00:00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</si>
</sst>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u/>
      <sz val="11"/>
      <color theme="1"/>
      <name val="Aptos Narrow"/>
      <family val="2"/>
      <scheme val="minor"/>
    </font>
    <font>
      <b/>
      <sz val="12"/>
      <color theme="0"/>
      <name val="Segoe UI"/>
      <family val="2"/>
    </font>
    <font>
      <b/>
      <sz val="15"/>
      <color rgb="FF22C55E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" fillId="0" borderId="2" xfId="1" applyBorder="1" applyAlignment="1">
      <alignment vertical="center"/>
    </xf>
    <xf numFmtId="0" fontId="4" fillId="0" borderId="0" xfId="1" applyFont="1" applyBorder="1" applyAlignment="1">
      <alignment vertical="center"/>
    </xf>
    <xf numFmtId="0" fontId="1" fillId="0" borderId="0" xfId="1" applyBorder="1" applyAlignment="1">
      <alignment vertical="center"/>
    </xf>
    <xf numFmtId="0" fontId="0" fillId="0" borderId="0" xfId="0" applyNumberFormat="1"/>
    <xf numFmtId="165" fontId="0" fillId="0" borderId="0" xfId="0" applyNumberFormat="1"/>
    <xf numFmtId="0" fontId="6" fillId="4" borderId="0" xfId="0" applyFont="1" applyFill="1" applyAlignment="1">
      <alignment horizontal="center" vertical="center"/>
    </xf>
    <xf numFmtId="0" fontId="4" fillId="0" borderId="0" xfId="1" applyFont="1" applyBorder="1" applyAlignment="1">
      <alignment horizontal="left" vertical="center" indent="9"/>
    </xf>
    <xf numFmtId="0" fontId="8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sz val="10"/>
        <color theme="0"/>
        <name val="Sergoe UI"/>
      </font>
      <fill>
        <patternFill>
          <fgColor theme="0"/>
          <bgColor rgb="FF22C55E"/>
        </patternFill>
      </fill>
      <border>
        <bottom style="thin">
          <color theme="9"/>
        </bottom>
        <vertical/>
        <horizontal/>
      </border>
    </dxf>
    <dxf>
      <font>
        <color theme="1"/>
        <name val="s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8D94D819-096B-4DD7-9CDF-1274FE6B9277}">
      <tableStyleElement type="wholeTable" dxfId="1"/>
      <tableStyleElement type="headerRow" dxfId="0"/>
    </tableStyle>
  </tableStyles>
  <colors>
    <mruColors>
      <color rgb="FF22C55E"/>
      <color rgb="FF5BF6A8"/>
      <color rgb="FFF7F8FC"/>
      <color rgb="FFE8E6E9"/>
      <color rgb="FF2AE6B1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[xbox.xlsx]C̳álculos!tbl_annual_total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76-407F-B22E-2B2503BAD420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76-407F-B22E-2B2503BAD4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76-407F-B22E-2B2503BAD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1892480"/>
        <c:axId val="1823845744"/>
      </c:barChart>
      <c:catAx>
        <c:axId val="1921892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845744"/>
        <c:crosses val="autoZero"/>
        <c:auto val="1"/>
        <c:lblAlgn val="ctr"/>
        <c:lblOffset val="100"/>
        <c:noMultiLvlLbl val="0"/>
      </c:catAx>
      <c:valAx>
        <c:axId val="182384574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2189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643467</xdr:colOff>
      <xdr:row>170</xdr:row>
      <xdr:rowOff>33867</xdr:rowOff>
    </xdr:from>
    <xdr:to>
      <xdr:col>13</xdr:col>
      <xdr:colOff>220134</xdr:colOff>
      <xdr:row>186</xdr:row>
      <xdr:rowOff>129116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4875934" y="2429934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24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9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28575</xdr:colOff>
      <xdr:row>1</xdr:row>
      <xdr:rowOff>20955</xdr:rowOff>
    </xdr:from>
    <xdr:to>
      <xdr:col>3</xdr:col>
      <xdr:colOff>9525</xdr:colOff>
      <xdr:row>2</xdr:row>
      <xdr:rowOff>57151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1B19FF4-7C31-4095-835C-95A69D70C5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10" t="19357" r="71287" b="19667"/>
        <a:stretch>
          <a:fillRect/>
        </a:stretch>
      </xdr:blipFill>
      <xdr:spPr>
        <a:xfrm>
          <a:off x="2390775" y="201930"/>
          <a:ext cx="590550" cy="531496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7</xdr:row>
      <xdr:rowOff>49530</xdr:rowOff>
    </xdr:from>
    <xdr:to>
      <xdr:col>0</xdr:col>
      <xdr:colOff>1943100</xdr:colOff>
      <xdr:row>21</xdr:row>
      <xdr:rowOff>97155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ubscription Type">
              <a:extLst>
                <a:ext uri="{FF2B5EF4-FFF2-40B4-BE49-F238E27FC236}">
                  <a16:creationId xmlns:a16="http://schemas.microsoft.com/office/drawing/2014/main" id="{7910288C-3F46-4C73-8509-6CE931AB26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63068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66675</xdr:colOff>
      <xdr:row>6</xdr:row>
      <xdr:rowOff>80964</xdr:rowOff>
    </xdr:from>
    <xdr:to>
      <xdr:col>10</xdr:col>
      <xdr:colOff>219075</xdr:colOff>
      <xdr:row>15</xdr:row>
      <xdr:rowOff>119062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F4A356B5-D0D5-6F2B-E6D4-BAF90A439C7B}"/>
            </a:ext>
          </a:extLst>
        </xdr:cNvPr>
        <xdr:cNvGrpSpPr/>
      </xdr:nvGrpSpPr>
      <xdr:grpSpPr>
        <a:xfrm>
          <a:off x="2428875" y="1481139"/>
          <a:ext cx="5029200" cy="1666873"/>
          <a:chOff x="2438400" y="1743076"/>
          <a:chExt cx="4781551" cy="1666873"/>
        </a:xfrm>
      </xdr:grpSpPr>
      <xdr:sp macro="" textlink="D̳ashboard!$C$24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09023865-D52B-450D-A29D-419812E54360}"/>
              </a:ext>
            </a:extLst>
          </xdr:cNvPr>
          <xdr:cNvSpPr/>
        </xdr:nvSpPr>
        <xdr:spPr>
          <a:xfrm>
            <a:off x="2438400" y="1752600"/>
            <a:ext cx="4772025" cy="1657349"/>
          </a:xfrm>
          <a:prstGeom prst="roundRect">
            <a:avLst>
              <a:gd name="adj" fmla="val 1095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621C7C38-DC93-4449-A832-0E5F8BAC63C3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t> </a:t>
            </a:fld>
            <a:endParaRPr lang="pt-BR" sz="1100"/>
          </a:p>
        </xdr:txBody>
      </xdr: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8BB48E3B-EB73-A19D-3A19-011745152F6B}"/>
              </a:ext>
            </a:extLst>
          </xdr:cNvPr>
          <xdr:cNvGrpSpPr/>
        </xdr:nvGrpSpPr>
        <xdr:grpSpPr>
          <a:xfrm>
            <a:off x="2438401" y="1743076"/>
            <a:ext cx="4781550" cy="1518284"/>
            <a:chOff x="2390776" y="1028701"/>
            <a:chExt cx="4781550" cy="1518284"/>
          </a:xfrm>
        </xdr:grpSpPr>
        <xdr:sp macro="" textlink="C̳álculos!E24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353282C4-9E04-7A70-B49C-9208D2FD843A}"/>
                </a:ext>
              </a:extLst>
            </xdr:cNvPr>
            <xdr:cNvSpPr/>
          </xdr:nvSpPr>
          <xdr:spPr>
            <a:xfrm>
              <a:off x="3733800" y="1435418"/>
              <a:ext cx="3295650" cy="1057275"/>
            </a:xfrm>
            <a:prstGeom prst="roundRect">
              <a:avLst>
                <a:gd name="adj" fmla="val 10953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4F72CB7-4215-44A2-AFAA-8246B077583D}" type="TxLink">
                <a:rPr lang="en-US" sz="36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R$ 2.940,00</a:t>
              </a:fld>
              <a:endParaRPr lang="en-US" sz="36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159CA692-9E65-4EBF-9853-50CBEB764FE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524125" y="1381125"/>
              <a:ext cx="1219200" cy="1165860"/>
            </a:xfrm>
            <a:prstGeom prst="rect">
              <a:avLst/>
            </a:prstGeom>
          </xdr:spPr>
        </xdr:pic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523E6FA7-2E33-0AF4-513A-4945D3B86776}"/>
                </a:ext>
              </a:extLst>
            </xdr:cNvPr>
            <xdr:cNvSpPr/>
          </xdr:nvSpPr>
          <xdr:spPr>
            <a:xfrm>
              <a:off x="2390776" y="1028701"/>
              <a:ext cx="4781550" cy="447674"/>
            </a:xfrm>
            <a:prstGeom prst="round2SameRect">
              <a:avLst>
                <a:gd name="adj1" fmla="val 24167"/>
                <a:gd name="adj2" fmla="val 0"/>
              </a:avLst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EA </a:t>
              </a:r>
              <a:r>
                <a:rPr lang="pt-BR" sz="1100" b="1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PLAY </a:t>
              </a:r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SEASON</a:t>
              </a:r>
              <a:r>
                <a:rPr lang="pt-BR" sz="12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PASS</a:t>
              </a:r>
              <a:endParaRPr lang="pt-BR" sz="12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10</xdr:col>
      <xdr:colOff>380999</xdr:colOff>
      <xdr:row>6</xdr:row>
      <xdr:rowOff>80964</xdr:rowOff>
    </xdr:from>
    <xdr:to>
      <xdr:col>19</xdr:col>
      <xdr:colOff>171449</xdr:colOff>
      <xdr:row>15</xdr:row>
      <xdr:rowOff>119062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4C08C0C4-B727-82A0-58E8-F54F1CF2AFE5}"/>
            </a:ext>
          </a:extLst>
        </xdr:cNvPr>
        <xdr:cNvGrpSpPr/>
      </xdr:nvGrpSpPr>
      <xdr:grpSpPr>
        <a:xfrm>
          <a:off x="7619999" y="1481139"/>
          <a:ext cx="5114925" cy="1666873"/>
          <a:chOff x="7762875" y="1028700"/>
          <a:chExt cx="4781551" cy="1666873"/>
        </a:xfrm>
      </xdr:grpSpPr>
      <xdr:sp macro="" textlink="D̳ashboard!$C$24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73DC1C8B-EFE8-11C4-EE0E-6B6557B9BBCA}"/>
              </a:ext>
            </a:extLst>
          </xdr:cNvPr>
          <xdr:cNvSpPr/>
        </xdr:nvSpPr>
        <xdr:spPr>
          <a:xfrm>
            <a:off x="7762875" y="1038224"/>
            <a:ext cx="4772025" cy="1657349"/>
          </a:xfrm>
          <a:prstGeom prst="roundRect">
            <a:avLst>
              <a:gd name="adj" fmla="val 1095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621C7C38-DC93-4449-A832-0E5F8BAC63C3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t> </a:t>
            </a:fld>
            <a:endParaRPr lang="pt-BR" sz="1100"/>
          </a:p>
        </xdr:txBody>
      </xdr:sp>
      <xdr:sp macro="" textlink="C̳álculos!E34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7749A149-C638-AE1C-7179-FAA2AA4F8515}"/>
              </a:ext>
            </a:extLst>
          </xdr:cNvPr>
          <xdr:cNvSpPr/>
        </xdr:nvSpPr>
        <xdr:spPr>
          <a:xfrm>
            <a:off x="9105900" y="1435417"/>
            <a:ext cx="3295650" cy="1057275"/>
          </a:xfrm>
          <a:prstGeom prst="roundRect">
            <a:avLst>
              <a:gd name="adj" fmla="val 10953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9C530D0-A45C-4172-BEDB-38BE93553C53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R$ 3.880,00</a:t>
            </a:fld>
            <a:endParaRPr lang="en-US" sz="36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35" name="Retângulo: Cantos Superiores Arredondados 34">
            <a:extLst>
              <a:ext uri="{FF2B5EF4-FFF2-40B4-BE49-F238E27FC236}">
                <a16:creationId xmlns:a16="http://schemas.microsoft.com/office/drawing/2014/main" id="{AFEBED16-11CB-25EC-CEC5-7C90B7CE1F66}"/>
              </a:ext>
            </a:extLst>
          </xdr:cNvPr>
          <xdr:cNvSpPr/>
        </xdr:nvSpPr>
        <xdr:spPr>
          <a:xfrm>
            <a:off x="7762876" y="1028700"/>
            <a:ext cx="4781550" cy="447674"/>
          </a:xfrm>
          <a:prstGeom prst="round2SameRect">
            <a:avLst>
              <a:gd name="adj1" fmla="val 24167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MINECRAFT</a:t>
            </a:r>
            <a:r>
              <a:rPr lang="pt-BR" sz="11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SEASON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48" name="Agrupar 47">
            <a:extLst>
              <a:ext uri="{FF2B5EF4-FFF2-40B4-BE49-F238E27FC236}">
                <a16:creationId xmlns:a16="http://schemas.microsoft.com/office/drawing/2014/main" id="{21E9124E-02A3-4AFE-93B8-33EC69FE19FB}"/>
              </a:ext>
            </a:extLst>
          </xdr:cNvPr>
          <xdr:cNvGrpSpPr/>
        </xdr:nvGrpSpPr>
        <xdr:grpSpPr>
          <a:xfrm>
            <a:off x="7981950" y="1612582"/>
            <a:ext cx="1447800" cy="702945"/>
            <a:chOff x="3495675" y="5400674"/>
            <a:chExt cx="1549476" cy="752476"/>
          </a:xfrm>
        </xdr:grpSpPr>
        <xdr:pic>
          <xdr:nvPicPr>
            <xdr:cNvPr id="49" name="Imagem 48">
              <a:extLst>
                <a:ext uri="{FF2B5EF4-FFF2-40B4-BE49-F238E27FC236}">
                  <a16:creationId xmlns:a16="http://schemas.microsoft.com/office/drawing/2014/main" id="{A4AC1BE4-D93F-6FF7-903E-D2052AC7C68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50" name="Gráfico 49">
              <a:extLst>
                <a:ext uri="{FF2B5EF4-FFF2-40B4-BE49-F238E27FC236}">
                  <a16:creationId xmlns:a16="http://schemas.microsoft.com/office/drawing/2014/main" id="{D529357A-6EAB-55CB-3EE8-3363721A6DF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238124</xdr:colOff>
      <xdr:row>17</xdr:row>
      <xdr:rowOff>95250</xdr:rowOff>
    </xdr:from>
    <xdr:to>
      <xdr:col>19</xdr:col>
      <xdr:colOff>257174</xdr:colOff>
      <xdr:row>38</xdr:row>
      <xdr:rowOff>28575</xdr:rowOff>
    </xdr:to>
    <xdr:grpSp>
      <xdr:nvGrpSpPr>
        <xdr:cNvPr id="54" name="Agrupar 53">
          <a:extLst>
            <a:ext uri="{FF2B5EF4-FFF2-40B4-BE49-F238E27FC236}">
              <a16:creationId xmlns:a16="http://schemas.microsoft.com/office/drawing/2014/main" id="{67B2B53A-1F21-6E7E-B567-04AE5CCBDB51}"/>
            </a:ext>
          </a:extLst>
        </xdr:cNvPr>
        <xdr:cNvGrpSpPr/>
      </xdr:nvGrpSpPr>
      <xdr:grpSpPr>
        <a:xfrm>
          <a:off x="2352674" y="3486150"/>
          <a:ext cx="10467975" cy="3733800"/>
          <a:chOff x="2352674" y="2981325"/>
          <a:chExt cx="10467975" cy="3733800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E100057B-45A7-A5A2-1964-8BBB71F30F16}"/>
              </a:ext>
            </a:extLst>
          </xdr:cNvPr>
          <xdr:cNvGrpSpPr/>
        </xdr:nvGrpSpPr>
        <xdr:grpSpPr>
          <a:xfrm>
            <a:off x="2352675" y="2981325"/>
            <a:ext cx="10448925" cy="3733800"/>
            <a:chOff x="2257425" y="1019175"/>
            <a:chExt cx="4857750" cy="3190875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0EB261B3-7F34-9A7A-7565-EC8351DBDE9F}"/>
                </a:ext>
              </a:extLst>
            </xdr:cNvPr>
            <xdr:cNvSpPr/>
          </xdr:nvSpPr>
          <xdr:spPr>
            <a:xfrm>
              <a:off x="2257425" y="1019175"/>
              <a:ext cx="4857750" cy="3190875"/>
            </a:xfrm>
            <a:prstGeom prst="roundRect">
              <a:avLst>
                <a:gd name="adj" fmla="val 950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1C1AF903-BD87-4881-BE96-7378510A4B5C}"/>
                </a:ext>
              </a:extLst>
            </xdr:cNvPr>
            <xdr:cNvGraphicFramePr>
              <a:graphicFrameLocks/>
            </xdr:cNvGraphicFramePr>
          </xdr:nvGraphicFramePr>
          <xdr:xfrm>
            <a:off x="2474407" y="1564554"/>
            <a:ext cx="4501703" cy="240737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53" name="Retângulo: Cantos Superiores Arredondados 52">
            <a:extLst>
              <a:ext uri="{FF2B5EF4-FFF2-40B4-BE49-F238E27FC236}">
                <a16:creationId xmlns:a16="http://schemas.microsoft.com/office/drawing/2014/main" id="{C6C8D335-44C1-4AD5-9C62-8E16C2DAA0CE}"/>
              </a:ext>
            </a:extLst>
          </xdr:cNvPr>
          <xdr:cNvSpPr/>
        </xdr:nvSpPr>
        <xdr:spPr>
          <a:xfrm>
            <a:off x="2352674" y="2981325"/>
            <a:ext cx="10467975" cy="44767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704850</xdr:colOff>
      <xdr:row>0</xdr:row>
      <xdr:rowOff>133350</xdr:rowOff>
    </xdr:from>
    <xdr:to>
      <xdr:col>0</xdr:col>
      <xdr:colOff>1400175</xdr:colOff>
      <xdr:row>2</xdr:row>
      <xdr:rowOff>120015</xdr:rowOff>
    </xdr:to>
    <xdr:sp macro="" textlink="">
      <xdr:nvSpPr>
        <xdr:cNvPr id="55" name="Elipse 54">
          <a:extLst>
            <a:ext uri="{FF2B5EF4-FFF2-40B4-BE49-F238E27FC236}">
              <a16:creationId xmlns:a16="http://schemas.microsoft.com/office/drawing/2014/main" id="{A4B8FCD5-5EED-4052-B8B6-B7548547309F}"/>
            </a:ext>
          </a:extLst>
        </xdr:cNvPr>
        <xdr:cNvSpPr/>
      </xdr:nvSpPr>
      <xdr:spPr>
        <a:xfrm>
          <a:off x="704850" y="13335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rina Barbosa Rodrigues" refreshedDate="46322.619447337966" createdVersion="8" refreshedVersion="8" minRefreshableVersion="3" recordCount="295" xr:uid="{7DBEED6F-9668-497B-BC96-F111962750E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88366554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7A1F1-21E7-4E20-A3CA-CFC1FFA71B90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0:C3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BBF4B-CEF0-4F1A-A782-C372D92839B6}" name="tbl_ea_season_play_price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0:C2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E5B27-D0C0-4E26-B881-FFA64A587BB7}" name="tbl_annual_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0C781CF-502E-425A-B4E5-E820CC498802}" sourceName="Subscription Type">
  <pivotTables>
    <pivotTable tabId="3" name="tbl_annual_total"/>
    <pivotTable tabId="3" name="tbl_ea_season_play_price"/>
    <pivotTable tabId="3" name="Tabela dinâmica3"/>
  </pivotTables>
  <data>
    <tabular pivotCacheId="98836655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E823A15-C85F-450C-951D-B4483E523975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6">
      <filters>
        <filter val="Annual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D2" sqref="D2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316</v>
      </c>
      <c r="C5" t="s">
        <v>3</v>
      </c>
      <c r="E5" s="7" t="s">
        <v>312</v>
      </c>
      <c r="F5" t="s">
        <v>2</v>
      </c>
    </row>
    <row r="6" spans="2:16" x14ac:dyDescent="0.3">
      <c r="B6" s="4" t="s">
        <v>313</v>
      </c>
      <c r="C6" t="s">
        <v>3</v>
      </c>
    </row>
    <row r="7" spans="2:16" x14ac:dyDescent="0.3">
      <c r="B7" s="5" t="s">
        <v>314</v>
      </c>
      <c r="C7" t="s">
        <v>4</v>
      </c>
    </row>
    <row r="8" spans="2:16" x14ac:dyDescent="0.3">
      <c r="B8" s="6" t="s">
        <v>315</v>
      </c>
      <c r="C8" t="s">
        <v>4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2" sqref="D2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hidden="1" customHeight="1" x14ac:dyDescent="0.3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hidden="1" customHeight="1" x14ac:dyDescent="0.3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hidden="1" customHeight="1" x14ac:dyDescent="0.3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hidden="1" customHeight="1" x14ac:dyDescent="0.3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hidden="1" customHeight="1" x14ac:dyDescent="0.3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hidden="1" customHeight="1" x14ac:dyDescent="0.3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hidden="1" customHeight="1" x14ac:dyDescent="0.3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hidden="1" customHeight="1" x14ac:dyDescent="0.3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hidden="1" customHeight="1" x14ac:dyDescent="0.3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hidden="1" customHeight="1" x14ac:dyDescent="0.3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hidden="1" customHeight="1" x14ac:dyDescent="0.3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hidden="1" customHeight="1" x14ac:dyDescent="0.3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hidden="1" customHeight="1" x14ac:dyDescent="0.3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hidden="1" customHeight="1" x14ac:dyDescent="0.3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hidden="1" customHeight="1" x14ac:dyDescent="0.3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hidden="1" customHeight="1" x14ac:dyDescent="0.3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hidden="1" customHeight="1" x14ac:dyDescent="0.3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hidden="1" customHeight="1" x14ac:dyDescent="0.3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hidden="1" customHeight="1" x14ac:dyDescent="0.3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hidden="1" customHeight="1" x14ac:dyDescent="0.3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hidden="1" customHeight="1" x14ac:dyDescent="0.3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hidden="1" customHeight="1" x14ac:dyDescent="0.3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hidden="1" customHeight="1" x14ac:dyDescent="0.3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hidden="1" customHeight="1" x14ac:dyDescent="0.3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hidden="1" customHeight="1" x14ac:dyDescent="0.3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hidden="1" customHeight="1" x14ac:dyDescent="0.3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hidden="1" customHeight="1" x14ac:dyDescent="0.3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hidden="1" customHeight="1" x14ac:dyDescent="0.3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hidden="1" customHeight="1" x14ac:dyDescent="0.3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hidden="1" customHeight="1" x14ac:dyDescent="0.3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hidden="1" customHeight="1" x14ac:dyDescent="0.3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hidden="1" customHeight="1" x14ac:dyDescent="0.3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hidden="1" customHeight="1" x14ac:dyDescent="0.3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hidden="1" customHeight="1" x14ac:dyDescent="0.3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hidden="1" customHeight="1" x14ac:dyDescent="0.3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hidden="1" customHeight="1" x14ac:dyDescent="0.3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hidden="1" customHeight="1" x14ac:dyDescent="0.3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hidden="1" customHeight="1" x14ac:dyDescent="0.3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hidden="1" customHeight="1" x14ac:dyDescent="0.3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hidden="1" customHeight="1" x14ac:dyDescent="0.3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hidden="1" customHeight="1" x14ac:dyDescent="0.3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hidden="1" customHeight="1" x14ac:dyDescent="0.3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hidden="1" customHeight="1" x14ac:dyDescent="0.3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hidden="1" customHeight="1" x14ac:dyDescent="0.3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hidden="1" customHeight="1" x14ac:dyDescent="0.3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hidden="1" customHeight="1" x14ac:dyDescent="0.3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hidden="1" customHeight="1" x14ac:dyDescent="0.3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hidden="1" customHeight="1" x14ac:dyDescent="0.3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hidden="1" customHeight="1" x14ac:dyDescent="0.3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hidden="1" customHeight="1" x14ac:dyDescent="0.3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hidden="1" customHeight="1" x14ac:dyDescent="0.3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hidden="1" customHeight="1" x14ac:dyDescent="0.3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hidden="1" customHeight="1" x14ac:dyDescent="0.3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hidden="1" customHeight="1" x14ac:dyDescent="0.3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hidden="1" customHeight="1" x14ac:dyDescent="0.3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hidden="1" customHeight="1" x14ac:dyDescent="0.3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hidden="1" customHeight="1" x14ac:dyDescent="0.3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hidden="1" customHeight="1" x14ac:dyDescent="0.3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hidden="1" customHeight="1" x14ac:dyDescent="0.3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hidden="1" customHeight="1" x14ac:dyDescent="0.3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hidden="1" customHeight="1" x14ac:dyDescent="0.3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hidden="1" customHeight="1" x14ac:dyDescent="0.3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hidden="1" customHeight="1" x14ac:dyDescent="0.3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hidden="1" customHeight="1" x14ac:dyDescent="0.3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hidden="1" customHeight="1" x14ac:dyDescent="0.3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hidden="1" customHeight="1" x14ac:dyDescent="0.3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hidden="1" customHeight="1" x14ac:dyDescent="0.3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hidden="1" customHeight="1" x14ac:dyDescent="0.3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hidden="1" customHeight="1" x14ac:dyDescent="0.3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hidden="1" customHeight="1" x14ac:dyDescent="0.3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hidden="1" customHeight="1" x14ac:dyDescent="0.3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hidden="1" customHeight="1" x14ac:dyDescent="0.3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hidden="1" customHeight="1" x14ac:dyDescent="0.3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hidden="1" customHeight="1" x14ac:dyDescent="0.3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hidden="1" customHeight="1" x14ac:dyDescent="0.3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hidden="1" customHeight="1" x14ac:dyDescent="0.3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hidden="1" customHeight="1" x14ac:dyDescent="0.3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hidden="1" customHeight="1" x14ac:dyDescent="0.3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34"/>
  <sheetViews>
    <sheetView showGridLines="0" topLeftCell="A16" workbookViewId="0">
      <selection activeCell="D2" sqref="D2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19.109375" bestFit="1" customWidth="1"/>
    <col min="5" max="5" width="27.6640625" bestFit="1" customWidth="1"/>
    <col min="6" max="6" width="5.44140625" customWidth="1"/>
    <col min="7" max="7" width="21.109375" bestFit="1" customWidth="1"/>
    <col min="8" max="9" width="35.109375" bestFit="1" customWidth="1"/>
    <col min="10" max="13" width="9.6640625" bestFit="1" customWidth="1"/>
    <col min="14" max="14" width="15.5546875" bestFit="1" customWidth="1"/>
    <col min="15" max="15" width="12.109375" bestFit="1" customWidth="1"/>
  </cols>
  <sheetData>
    <row r="2" spans="2:3" x14ac:dyDescent="0.3">
      <c r="B2" t="s">
        <v>317</v>
      </c>
    </row>
    <row r="4" spans="2:3" x14ac:dyDescent="0.3">
      <c r="B4" t="s">
        <v>318</v>
      </c>
    </row>
    <row r="5" spans="2:3" x14ac:dyDescent="0.3">
      <c r="B5" t="s">
        <v>319</v>
      </c>
    </row>
    <row r="9" spans="2:3" x14ac:dyDescent="0.3">
      <c r="B9" s="12" t="s">
        <v>11</v>
      </c>
      <c r="C9" t="s">
        <v>311</v>
      </c>
    </row>
    <row r="11" spans="2:3" x14ac:dyDescent="0.3">
      <c r="B11" s="12" t="s">
        <v>308</v>
      </c>
      <c r="C11" t="s">
        <v>310</v>
      </c>
    </row>
    <row r="12" spans="2:3" x14ac:dyDescent="0.3">
      <c r="B12" s="13" t="s">
        <v>18</v>
      </c>
      <c r="C12" s="14">
        <v>3847</v>
      </c>
    </row>
    <row r="13" spans="2:3" x14ac:dyDescent="0.3">
      <c r="B13" s="13" t="s">
        <v>14</v>
      </c>
      <c r="C13" s="14">
        <v>3786</v>
      </c>
    </row>
    <row r="14" spans="2:3" x14ac:dyDescent="0.3">
      <c r="B14" s="13" t="s">
        <v>309</v>
      </c>
      <c r="C14" s="14">
        <v>7633</v>
      </c>
    </row>
    <row r="16" spans="2:3" x14ac:dyDescent="0.3">
      <c r="B16" s="13" t="s">
        <v>322</v>
      </c>
    </row>
    <row r="18" spans="2:5" x14ac:dyDescent="0.3">
      <c r="B18" s="12" t="s">
        <v>11</v>
      </c>
      <c r="C18" t="s">
        <v>311</v>
      </c>
    </row>
    <row r="20" spans="2:5" x14ac:dyDescent="0.3">
      <c r="B20" s="12" t="s">
        <v>308</v>
      </c>
      <c r="C20" t="s">
        <v>320</v>
      </c>
    </row>
    <row r="21" spans="2:5" x14ac:dyDescent="0.3">
      <c r="B21" s="13" t="s">
        <v>17</v>
      </c>
      <c r="C21" s="18">
        <v>0</v>
      </c>
    </row>
    <row r="22" spans="2:5" x14ac:dyDescent="0.3">
      <c r="B22" s="13" t="s">
        <v>21</v>
      </c>
      <c r="C22" s="18">
        <v>0</v>
      </c>
    </row>
    <row r="23" spans="2:5" x14ac:dyDescent="0.3">
      <c r="B23" s="13" t="s">
        <v>13</v>
      </c>
      <c r="C23" s="18">
        <v>2940</v>
      </c>
    </row>
    <row r="24" spans="2:5" x14ac:dyDescent="0.3">
      <c r="B24" s="13" t="s">
        <v>309</v>
      </c>
      <c r="C24" s="18">
        <v>2940</v>
      </c>
      <c r="E24" s="19">
        <f>GETPIVOTDATA("Soma de EA Play Season Pass",$B$20)</f>
        <v>2940</v>
      </c>
    </row>
    <row r="26" spans="2:5" x14ac:dyDescent="0.3">
      <c r="B26" s="13" t="s">
        <v>321</v>
      </c>
    </row>
    <row r="28" spans="2:5" x14ac:dyDescent="0.3">
      <c r="B28" s="12" t="s">
        <v>11</v>
      </c>
      <c r="C28" t="s">
        <v>311</v>
      </c>
    </row>
    <row r="30" spans="2:5" x14ac:dyDescent="0.3">
      <c r="B30" s="12" t="s">
        <v>308</v>
      </c>
      <c r="C30" t="s">
        <v>323</v>
      </c>
    </row>
    <row r="31" spans="2:5" x14ac:dyDescent="0.3">
      <c r="B31" s="13" t="s">
        <v>17</v>
      </c>
      <c r="C31" s="14">
        <v>0</v>
      </c>
    </row>
    <row r="32" spans="2:5" x14ac:dyDescent="0.3">
      <c r="B32" s="13" t="s">
        <v>21</v>
      </c>
      <c r="C32" s="14">
        <v>1920</v>
      </c>
    </row>
    <row r="33" spans="2:5" x14ac:dyDescent="0.3">
      <c r="B33" s="13" t="s">
        <v>13</v>
      </c>
      <c r="C33" s="14">
        <v>1960</v>
      </c>
    </row>
    <row r="34" spans="2:5" x14ac:dyDescent="0.3">
      <c r="B34" s="13" t="s">
        <v>309</v>
      </c>
      <c r="C34" s="14">
        <v>3880</v>
      </c>
      <c r="E34" s="19">
        <f>GETPIVOTDATA("Minecraft Season Pass Price",$B$30)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W191"/>
  <sheetViews>
    <sheetView showGridLines="0" showRowColHeaders="0" tabSelected="1" zoomScale="80" zoomScaleNormal="80" workbookViewId="0">
      <selection activeCell="A44" sqref="A44"/>
    </sheetView>
  </sheetViews>
  <sheetFormatPr defaultColWidth="0" defaultRowHeight="14.4" x14ac:dyDescent="0.3"/>
  <cols>
    <col min="1" max="1" width="30.77734375" style="4" customWidth="1"/>
    <col min="2" max="2" width="3.5546875" customWidth="1"/>
    <col min="3" max="11" width="8.88671875" customWidth="1"/>
    <col min="12" max="12" width="6.5546875" customWidth="1"/>
    <col min="13" max="20" width="8.88671875" customWidth="1"/>
    <col min="24" max="16384" width="8.88671875" hidden="1"/>
  </cols>
  <sheetData>
    <row r="2" spans="1:23" ht="39" customHeight="1" thickBot="1" x14ac:dyDescent="0.35">
      <c r="C2" s="21"/>
      <c r="D2" s="15" t="s">
        <v>325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3" ht="14.4" customHeight="1" thickTop="1" x14ac:dyDescent="0.3">
      <c r="C3" s="1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3" ht="14.4" customHeight="1" x14ac:dyDescent="0.3">
      <c r="A4" s="20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4.4" customHeight="1" x14ac:dyDescent="0.3">
      <c r="A5" s="20" t="s">
        <v>324</v>
      </c>
      <c r="B5" s="7"/>
      <c r="C5" s="22" t="s">
        <v>326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4.4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4.4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4.4" customHeigh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2:23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2:23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2:23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2:23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2:23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2:23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2:23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2:23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2:23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2:23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2:23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2:23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2:23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2:23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2:23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2:23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2:23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2:23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2:23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2:23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2:23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2:23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2:23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2:23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2:23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2:23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2:23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2:23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2:23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2:23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2:23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2:23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2:23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2:23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2:23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2:23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2:23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2:23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2:23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2:23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2:23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2:23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2:23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2:23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2:23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2:23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2:23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2:23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2:23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2:23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2:23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2:23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2:23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2:23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2:23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2:23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2:23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2:23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2:23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2:23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2:23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2:23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2:23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2:23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2:23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2:23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2:23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2:23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2:23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2:23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2:23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2:23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2:23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2:23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2:23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2:23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2:23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2:23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2:23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2:23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2:23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2:23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2:23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2:23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2:23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2:23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2:23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2:23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2:23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2:23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2:23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2:23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2:23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2:23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2:23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2:23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2:23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2:23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2:23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2:23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2:23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2:23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2:23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2:23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2:23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2:23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2:23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2:23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2:23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2:23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2:23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2:23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2:23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2:23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2:23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2:23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2:23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2:23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2:23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2:23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2:23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2:23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2:23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2:23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2:23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2:23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2:23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2:23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2:23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2:23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2:23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2:23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2:23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2:23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2:23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2:23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2:23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2:23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2:23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2:23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2:23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2:23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2:23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2:23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2:23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2:23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2:23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2:23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2:23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2:23" x14ac:dyDescent="0.3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2:23" x14ac:dyDescent="0.3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2:23" x14ac:dyDescent="0.3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2:23" x14ac:dyDescent="0.3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2:23" x14ac:dyDescent="0.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2:23" x14ac:dyDescent="0.3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2:23" x14ac:dyDescent="0.3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2:23" x14ac:dyDescent="0.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2:23" x14ac:dyDescent="0.3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2:23" x14ac:dyDescent="0.3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2:23" x14ac:dyDescent="0.3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2:23" x14ac:dyDescent="0.3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2:23" x14ac:dyDescent="0.3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2:23" x14ac:dyDescent="0.3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2:23" x14ac:dyDescent="0.3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2:23" x14ac:dyDescent="0.3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2:23" x14ac:dyDescent="0.3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2:23" x14ac:dyDescent="0.3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2:23" x14ac:dyDescent="0.3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2:23" x14ac:dyDescent="0.3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2:23" x14ac:dyDescent="0.3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2:23" x14ac:dyDescent="0.3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2:23" x14ac:dyDescent="0.3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2:23" x14ac:dyDescent="0.3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2:23" x14ac:dyDescent="0.3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2:23" x14ac:dyDescent="0.3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Sabrina Barbosa Rodrigues</cp:lastModifiedBy>
  <dcterms:created xsi:type="dcterms:W3CDTF">2024-12-19T13:13:10Z</dcterms:created>
  <dcterms:modified xsi:type="dcterms:W3CDTF">2026-10-27T21:22:44Z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